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  <sheet xmlns:r="http://schemas.openxmlformats.org/officeDocument/2006/relationships" name="Comparis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FEF0E7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Execution Time by 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'Comparison Summary'!$A$4:$A$7</f>
            </numRef>
          </cat>
          <val>
            <numRef>
              <f>'Comparison Summary'!$B$4:$B$7</f>
            </numRef>
          </val>
        </ser>
        <ser>
          <idx val="1"/>
          <order val="1"/>
          <tx>
            <strRef>
              <f>'Comparison Summary'!C3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'Comparison Summary'!$A$4:$A$7</f>
            </numRef>
          </cat>
          <val>
            <numRef>
              <f>'Comparison Summary'!$C$4:$C$7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Prime Counting Benchmark — LastName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 ht="20" customHeight="1">
      <c r="A3" s="2" t="inlineStr">
        <is>
          <t>Program</t>
        </is>
      </c>
      <c r="B3" s="2" t="inlineStr">
        <is>
          <t>N</t>
        </is>
      </c>
      <c r="C3" s="2" t="inlineStr">
        <is>
          <t>Run 1 (s)</t>
        </is>
      </c>
      <c r="D3" s="2" t="inlineStr">
        <is>
          <t>Run 2 (s)</t>
        </is>
      </c>
      <c r="E3" s="2" t="inlineStr">
        <is>
          <t>Run 3 (s)</t>
        </is>
      </c>
      <c r="F3" s="2" t="inlineStr">
        <is>
          <t>Average (s)</t>
        </is>
      </c>
      <c r="G3" s="2" t="inlineStr">
        <is>
          <t>Notes</t>
        </is>
      </c>
    </row>
    <row r="4">
      <c r="A4" s="3" t="inlineStr">
        <is>
          <t>Multi-Threaded</t>
        </is>
      </c>
      <c r="B4" s="4" t="n">
        <v>1000</v>
      </c>
      <c r="C4" s="5" t="n">
        <v>0.000412</v>
      </c>
      <c r="D4" s="5" t="n">
        <v>0.000398</v>
      </c>
      <c r="E4" s="5" t="n">
        <v>0.000421</v>
      </c>
      <c r="F4" s="6">
        <f>AVERAGE(C4:E4)</f>
        <v/>
      </c>
      <c r="G4" s="4" t="inlineStr"/>
    </row>
    <row r="5">
      <c r="A5" s="3" t="inlineStr">
        <is>
          <t>Multi-Threaded</t>
        </is>
      </c>
      <c r="B5" s="4" t="n">
        <v>2000</v>
      </c>
      <c r="C5" s="5" t="n">
        <v>0.000891</v>
      </c>
      <c r="D5" s="5" t="n">
        <v>0.000876</v>
      </c>
      <c r="E5" s="5" t="n">
        <v>0.000903</v>
      </c>
      <c r="F5" s="6">
        <f>AVERAGE(C5:E5)</f>
        <v/>
      </c>
      <c r="G5" s="4" t="inlineStr"/>
    </row>
    <row r="6">
      <c r="A6" s="3" t="inlineStr">
        <is>
          <t>Multi-Threaded</t>
        </is>
      </c>
      <c r="B6" s="4" t="n">
        <v>4000</v>
      </c>
      <c r="C6" s="5" t="n">
        <v>0.002341</v>
      </c>
      <c r="D6" s="5" t="n">
        <v>0.002289</v>
      </c>
      <c r="E6" s="5" t="n">
        <v>0.002367</v>
      </c>
      <c r="F6" s="6">
        <f>AVERAGE(C6:E6)</f>
        <v/>
      </c>
      <c r="G6" s="4" t="inlineStr"/>
    </row>
    <row r="7">
      <c r="A7" s="3" t="inlineStr">
        <is>
          <t>Multi-Threaded</t>
        </is>
      </c>
      <c r="B7" s="4" t="n">
        <v>8000</v>
      </c>
      <c r="C7" s="5" t="n">
        <v>0.007821</v>
      </c>
      <c r="D7" s="5" t="n">
        <v>0.007756</v>
      </c>
      <c r="E7" s="5" t="n">
        <v>0.007934</v>
      </c>
      <c r="F7" s="6">
        <f>AVERAGE(C7:E7)</f>
        <v/>
      </c>
      <c r="G7" s="4" t="inlineStr"/>
    </row>
    <row r="8">
      <c r="A8" s="7" t="inlineStr">
        <is>
          <t>Single-Threaded</t>
        </is>
      </c>
      <c r="B8" s="8" t="n">
        <v>1000</v>
      </c>
      <c r="C8" s="9" t="n">
        <v>0.001234</v>
      </c>
      <c r="D8" s="9" t="n">
        <v>0.001198</v>
      </c>
      <c r="E8" s="9" t="n">
        <v>0.001256</v>
      </c>
      <c r="F8" s="10">
        <f>AVERAGE(C8:E8)</f>
        <v/>
      </c>
      <c r="G8" s="8" t="inlineStr"/>
    </row>
    <row r="9">
      <c r="A9" s="7" t="inlineStr">
        <is>
          <t>Single-Threaded</t>
        </is>
      </c>
      <c r="B9" s="8" t="n">
        <v>2000</v>
      </c>
      <c r="C9" s="9" t="n">
        <v>0.003891</v>
      </c>
      <c r="D9" s="9" t="n">
        <v>0.003823</v>
      </c>
      <c r="E9" s="9" t="n">
        <v>0.003914</v>
      </c>
      <c r="F9" s="10">
        <f>AVERAGE(C9:E9)</f>
        <v/>
      </c>
      <c r="G9" s="8" t="inlineStr"/>
    </row>
    <row r="10">
      <c r="A10" s="7" t="inlineStr">
        <is>
          <t>Single-Threaded</t>
        </is>
      </c>
      <c r="B10" s="8" t="n">
        <v>4000</v>
      </c>
      <c r="C10" s="9" t="n">
        <v>0.013241</v>
      </c>
      <c r="D10" s="9" t="n">
        <v>0.013189</v>
      </c>
      <c r="E10" s="9" t="n">
        <v>0.013367</v>
      </c>
      <c r="F10" s="10">
        <f>AVERAGE(C10:E10)</f>
        <v/>
      </c>
      <c r="G10" s="8" t="inlineStr"/>
    </row>
    <row r="11">
      <c r="A11" s="7" t="inlineStr">
        <is>
          <t>Single-Threaded</t>
        </is>
      </c>
      <c r="B11" s="8" t="n">
        <v>8000</v>
      </c>
      <c r="C11" s="9" t="n">
        <v>0.051821</v>
      </c>
      <c r="D11" s="9" t="n">
        <v>0.051756</v>
      </c>
      <c r="E11" s="9" t="n">
        <v>0.052034</v>
      </c>
      <c r="F11" s="10">
        <f>AVERAGE(C11:E11)</f>
        <v/>
      </c>
      <c r="G11" s="8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 ht="26" customHeight="1">
      <c r="A1" s="11" t="inlineStr">
        <is>
          <t>Multi-Threaded vs Single-Threaded — Average Elapsed Time</t>
        </is>
      </c>
    </row>
    <row r="2">
      <c r="A2" t="inlineStr"/>
      <c r="B2" t="inlineStr"/>
      <c r="C2" t="inlineStr"/>
      <c r="D2" t="inlineStr"/>
      <c r="E2" t="inlineStr"/>
    </row>
    <row r="3">
      <c r="A3" s="2" t="inlineStr">
        <is>
          <t>N</t>
        </is>
      </c>
      <c r="B3" s="2" t="inlineStr">
        <is>
          <t>MT Avg (s)</t>
        </is>
      </c>
      <c r="C3" s="2" t="inlineStr">
        <is>
          <t>ST Avg (s)</t>
        </is>
      </c>
      <c r="D3" s="2" t="inlineStr">
        <is>
          <t>Speedup (MT/ST)</t>
        </is>
      </c>
      <c r="E3" s="2" t="inlineStr">
        <is>
          <t>Faster?</t>
        </is>
      </c>
    </row>
    <row r="4">
      <c r="A4" s="4" t="n">
        <v>1000</v>
      </c>
      <c r="B4" s="5" t="n">
        <v>0.00041</v>
      </c>
      <c r="C4" s="5" t="n">
        <v>0.001229</v>
      </c>
      <c r="D4" s="12">
        <f>C4/B4</f>
        <v/>
      </c>
      <c r="E4" s="4">
        <f>IF(B4&lt;C4,"MT Faster","ST Faster")</f>
        <v/>
      </c>
    </row>
    <row r="5">
      <c r="A5" s="13" t="n">
        <v>2000</v>
      </c>
      <c r="B5" s="14" t="n">
        <v>0.0008899999999999999</v>
      </c>
      <c r="C5" s="14" t="n">
        <v>0.003876</v>
      </c>
      <c r="D5" s="15">
        <f>C5/B5</f>
        <v/>
      </c>
      <c r="E5" s="13">
        <f>IF(B5&lt;C5,"MT Faster","ST Faster")</f>
        <v/>
      </c>
    </row>
    <row r="6">
      <c r="A6" s="4" t="n">
        <v>4000</v>
      </c>
      <c r="B6" s="5" t="n">
        <v>0.002332</v>
      </c>
      <c r="C6" s="5" t="n">
        <v>0.013266</v>
      </c>
      <c r="D6" s="12">
        <f>C6/B6</f>
        <v/>
      </c>
      <c r="E6" s="4">
        <f>IF(B6&lt;C6,"MT Faster","ST Faster")</f>
        <v/>
      </c>
    </row>
    <row r="7">
      <c r="A7" s="13" t="n">
        <v>8000</v>
      </c>
      <c r="B7" s="14" t="n">
        <v>0.007837</v>
      </c>
      <c r="C7" s="14" t="n">
        <v>0.05187</v>
      </c>
      <c r="D7" s="15">
        <f>C7/B7</f>
        <v/>
      </c>
      <c r="E7" s="13">
        <f>IF(B7&lt;C7,"MT Faster","ST Faster")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2026-03-09T21:43:08Z</dcterms:created>
  <dcterms:modified xmlns:dcterms="http://purl.org/dc/terms/" xmlns:xsi="http://www.w3.org/2001/XMLSchema-instance" xsi:type="dcterms:W3CDTF">2026-03-09T21:43:08Z</dcterms:modified>
</cp:coreProperties>
</file>